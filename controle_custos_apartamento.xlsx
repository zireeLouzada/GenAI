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siree.santos\Downloads\"/>
    </mc:Choice>
  </mc:AlternateContent>
  <xr:revisionPtr revIDLastSave="0" documentId="13_ncr:1_{1A60D375-9ED5-4EB7-8ADE-DF45C9BEACB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Apartamento" sheetId="2" r:id="rId1"/>
    <sheet name="Custos de Aquisição" sheetId="1" r:id="rId2"/>
    <sheet name="Taxas de Obra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" i="3" l="1"/>
  <c r="C103" i="3"/>
  <c r="B10" i="2"/>
  <c r="B11" i="2" s="1"/>
  <c r="B7" i="2"/>
  <c r="B12" i="2" s="1"/>
  <c r="D9" i="1"/>
  <c r="D8" i="1"/>
</calcChain>
</file>

<file path=xl/sharedStrings.xml><?xml version="1.0" encoding="utf-8"?>
<sst xmlns="http://schemas.openxmlformats.org/spreadsheetml/2006/main" count="64" uniqueCount="45">
  <si>
    <t>Controle de Custos de Aquisição do Apartamento</t>
  </si>
  <si>
    <t>Data</t>
  </si>
  <si>
    <t>Categoria</t>
  </si>
  <si>
    <t>Descrição</t>
  </si>
  <si>
    <t>Valor (R$)</t>
  </si>
  <si>
    <t>Forma / Origem</t>
  </si>
  <si>
    <t>Status</t>
  </si>
  <si>
    <t>Aquisição</t>
  </si>
  <si>
    <t>Entrada - recursos próprios</t>
  </si>
  <si>
    <t>Recursos próprios</t>
  </si>
  <si>
    <t>Pago</t>
  </si>
  <si>
    <t>FGTS utilizado na compra</t>
  </si>
  <si>
    <t>FGTS</t>
  </si>
  <si>
    <t>Total de custos registrados</t>
  </si>
  <si>
    <t>Total pago / realizado</t>
  </si>
  <si>
    <t>Valores do Apartamento</t>
  </si>
  <si>
    <t>Composição do valor</t>
  </si>
  <si>
    <t>FGTS utilizado</t>
  </si>
  <si>
    <t>Saldo devedor Caixa</t>
  </si>
  <si>
    <t>Valor total do imóvel (composição atual)</t>
  </si>
  <si>
    <t>Indicadores</t>
  </si>
  <si>
    <t>Resultado</t>
  </si>
  <si>
    <t>Valor já pago (entrada + FGTS)</t>
  </si>
  <si>
    <t>Percentual já pago</t>
  </si>
  <si>
    <t>Percentual ainda financiado</t>
  </si>
  <si>
    <t>Campo adicional</t>
  </si>
  <si>
    <t>Valor</t>
  </si>
  <si>
    <t>Observação</t>
  </si>
  <si>
    <t>Valor de contrato / compra e venda</t>
  </si>
  <si>
    <t>A preencher</t>
  </si>
  <si>
    <t>Valor de avaliação Caixa</t>
  </si>
  <si>
    <t>Opcional</t>
  </si>
  <si>
    <t>Valor financiado originalmente</t>
  </si>
  <si>
    <t>Data da compra / assinatura</t>
  </si>
  <si>
    <t>Prazo do financiamento (meses)</t>
  </si>
  <si>
    <t>Taxa de juros do financiamento</t>
  </si>
  <si>
    <t>Registro de Taxas de Obra</t>
  </si>
  <si>
    <t>Competência</t>
  </si>
  <si>
    <t>Data do pagamento</t>
  </si>
  <si>
    <t>Saldo devedor informado (R$)</t>
  </si>
  <si>
    <t>% obra / evolução</t>
  </si>
  <si>
    <t>Total pago em taxas de obra</t>
  </si>
  <si>
    <t>Quantidade de pagamentos</t>
  </si>
  <si>
    <t>início pagamento a partir de nov/2029</t>
  </si>
  <si>
    <t>1ª taxa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</si>
</sst>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;[Red]\(\R\$\ #,##0.00\);\-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color rgb="FF0000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2" fillId="4" borderId="0" xfId="0" applyFont="1" applyFill="1"/>
    <xf numFmtId="164" fontId="2" fillId="4" borderId="0" xfId="0" applyNumberFormat="1" applyFont="1" applyFill="1"/>
    <xf numFmtId="10" fontId="0" fillId="0" borderId="0" xfId="0" applyNumberFormat="1"/>
    <xf numFmtId="14" fontId="3" fillId="0" borderId="0" xfId="0" applyNumberFormat="1" applyFont="1"/>
    <xf numFmtId="10" fontId="3" fillId="0" borderId="0" xfId="0" applyNumberFormat="1" applyFont="1"/>
    <xf numFmtId="17" fontId="3" fillId="0" borderId="0" xfId="0" applyNumberFormat="1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C15" sqref="C15"/>
    </sheetView>
  </sheetViews>
  <sheetFormatPr defaultRowHeight="14.25"/>
  <cols>
    <col min="1" max="1" width="36" customWidth="1"/>
    <col min="2" max="2" width="20" customWidth="1"/>
    <col min="3" max="3" width="46" customWidth="1"/>
    <col min="4" max="4" width="16" customWidth="1"/>
  </cols>
  <sheetData>
    <row r="1" spans="1:4" ht="18">
      <c r="A1" s="15" t="s">
        <v>15</v>
      </c>
      <c r="B1" s="15"/>
      <c r="C1" s="15"/>
      <c r="D1" s="15"/>
    </row>
    <row r="3" spans="1:4" ht="15">
      <c r="A3" s="1" t="s">
        <v>16</v>
      </c>
      <c r="B3" s="1" t="s">
        <v>4</v>
      </c>
    </row>
    <row r="4" spans="1:4">
      <c r="A4" t="s">
        <v>8</v>
      </c>
      <c r="B4" s="4">
        <v>40000</v>
      </c>
    </row>
    <row r="5" spans="1:4">
      <c r="A5" t="s">
        <v>17</v>
      </c>
      <c r="B5" s="4">
        <v>108246.39999999999</v>
      </c>
    </row>
    <row r="6" spans="1:4">
      <c r="A6" t="s">
        <v>18</v>
      </c>
      <c r="B6" s="4">
        <v>180397.19</v>
      </c>
      <c r="C6" t="s">
        <v>43</v>
      </c>
    </row>
    <row r="7" spans="1:4" ht="15">
      <c r="A7" s="8" t="s">
        <v>19</v>
      </c>
      <c r="B7" s="9">
        <f>SUM(B4:B6)</f>
        <v>328643.58999999997</v>
      </c>
    </row>
    <row r="9" spans="1:4" ht="15">
      <c r="A9" s="1" t="s">
        <v>20</v>
      </c>
      <c r="B9" s="1" t="s">
        <v>21</v>
      </c>
    </row>
    <row r="10" spans="1:4">
      <c r="A10" t="s">
        <v>22</v>
      </c>
      <c r="B10" s="5">
        <f>SUM(B4:B5)</f>
        <v>148246.39999999999</v>
      </c>
    </row>
    <row r="11" spans="1:4">
      <c r="A11" t="s">
        <v>23</v>
      </c>
      <c r="B11" s="10">
        <f>B10/B7</f>
        <v>0.45108562744217834</v>
      </c>
    </row>
    <row r="12" spans="1:4">
      <c r="A12" t="s">
        <v>24</v>
      </c>
      <c r="B12" s="10">
        <f>B6/B7</f>
        <v>0.54891437255782172</v>
      </c>
    </row>
    <row r="14" spans="1:4" ht="15">
      <c r="A14" s="1" t="s">
        <v>25</v>
      </c>
      <c r="B14" s="1" t="s">
        <v>26</v>
      </c>
      <c r="C14" s="1" t="s">
        <v>27</v>
      </c>
      <c r="D14" s="1" t="s">
        <v>6</v>
      </c>
    </row>
    <row r="15" spans="1:4">
      <c r="A15" t="s">
        <v>28</v>
      </c>
      <c r="B15" s="4"/>
      <c r="C15" t="s">
        <v>31</v>
      </c>
      <c r="D15" t="s">
        <v>29</v>
      </c>
    </row>
    <row r="16" spans="1:4">
      <c r="A16" t="s">
        <v>30</v>
      </c>
      <c r="B16" s="4"/>
      <c r="C16" t="s">
        <v>31</v>
      </c>
      <c r="D16" t="s">
        <v>29</v>
      </c>
    </row>
    <row r="17" spans="1:4">
      <c r="A17" t="s">
        <v>32</v>
      </c>
      <c r="B17" s="4"/>
      <c r="C17" t="s">
        <v>31</v>
      </c>
      <c r="D17" t="s">
        <v>29</v>
      </c>
    </row>
    <row r="18" spans="1:4">
      <c r="A18" t="s">
        <v>33</v>
      </c>
      <c r="B18" s="11">
        <v>46235</v>
      </c>
      <c r="C18" t="s">
        <v>31</v>
      </c>
      <c r="D18" t="s">
        <v>29</v>
      </c>
    </row>
    <row r="19" spans="1:4">
      <c r="A19" t="s">
        <v>34</v>
      </c>
      <c r="B19" s="3"/>
      <c r="C19" t="s">
        <v>31</v>
      </c>
      <c r="D19" t="s">
        <v>29</v>
      </c>
    </row>
    <row r="20" spans="1:4">
      <c r="A20" t="s">
        <v>35</v>
      </c>
      <c r="B20" s="3"/>
      <c r="C20" t="s">
        <v>31</v>
      </c>
      <c r="D20" t="s">
        <v>29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workbookViewId="0">
      <selection activeCell="D9" sqref="D9"/>
    </sheetView>
  </sheetViews>
  <sheetFormatPr defaultRowHeight="14.25"/>
  <cols>
    <col min="1" max="1" width="13" customWidth="1"/>
    <col min="2" max="2" width="18" customWidth="1"/>
    <col min="3" max="3" width="34" customWidth="1"/>
    <col min="4" max="4" width="16" customWidth="1"/>
    <col min="5" max="5" width="20" customWidth="1"/>
    <col min="6" max="6" width="14" customWidth="1"/>
  </cols>
  <sheetData>
    <row r="1" spans="1:6" ht="18">
      <c r="A1" s="15" t="s">
        <v>0</v>
      </c>
      <c r="B1" s="15"/>
      <c r="C1" s="15"/>
      <c r="D1" s="15"/>
      <c r="E1" s="15"/>
      <c r="F1" s="15"/>
    </row>
    <row r="3" spans="1:6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B4" t="s">
        <v>7</v>
      </c>
      <c r="C4" t="s">
        <v>8</v>
      </c>
      <c r="D4" s="4">
        <v>40000</v>
      </c>
      <c r="E4" t="s">
        <v>9</v>
      </c>
      <c r="F4" t="s">
        <v>10</v>
      </c>
    </row>
    <row r="5" spans="1:6">
      <c r="B5" t="s">
        <v>7</v>
      </c>
      <c r="C5" t="s">
        <v>11</v>
      </c>
      <c r="D5" s="4">
        <v>108246.39999999999</v>
      </c>
      <c r="E5" t="s">
        <v>12</v>
      </c>
      <c r="F5" t="s">
        <v>10</v>
      </c>
    </row>
    <row r="6" spans="1:6">
      <c r="D6" s="5"/>
    </row>
    <row r="7" spans="1:6">
      <c r="D7" s="5"/>
    </row>
    <row r="8" spans="1:6" ht="15">
      <c r="C8" s="8" t="s">
        <v>13</v>
      </c>
      <c r="D8" s="9" t="str">
        <f ca="1">SUM(D4:D200)</f>
        <v/>
      </c>
    </row>
    <row r="9" spans="1:6" ht="15">
      <c r="C9" s="6" t="s">
        <v>14</v>
      </c>
      <c r="D9" s="7">
        <f>SUMIF(F4:F200,"Pago",D4:D200)</f>
        <v>148246.39999999999</v>
      </c>
    </row>
    <row r="10" spans="1:6">
      <c r="D10" s="5"/>
    </row>
    <row r="11" spans="1:6">
      <c r="D11" s="5"/>
    </row>
    <row r="12" spans="1:6">
      <c r="D12" s="5"/>
    </row>
    <row r="13" spans="1:6">
      <c r="D13" s="5"/>
    </row>
    <row r="14" spans="1:6">
      <c r="D14" s="5"/>
    </row>
    <row r="15" spans="1:6">
      <c r="D15" s="5"/>
    </row>
    <row r="16" spans="1:6">
      <c r="D16" s="5"/>
    </row>
    <row r="17" spans="4:4">
      <c r="D17" s="5"/>
    </row>
    <row r="18" spans="4:4">
      <c r="D18" s="5"/>
    </row>
    <row r="19" spans="4:4">
      <c r="D19" s="5"/>
    </row>
    <row r="20" spans="4:4">
      <c r="D20" s="5"/>
    </row>
    <row r="21" spans="4:4">
      <c r="D21" s="5"/>
    </row>
    <row r="22" spans="4:4">
      <c r="D22" s="5"/>
    </row>
    <row r="23" spans="4:4">
      <c r="D23" s="5"/>
    </row>
    <row r="24" spans="4:4">
      <c r="D24" s="5"/>
    </row>
    <row r="25" spans="4:4">
      <c r="D25" s="5"/>
    </row>
    <row r="26" spans="4:4">
      <c r="D26" s="5"/>
    </row>
    <row r="27" spans="4:4">
      <c r="D27" s="5"/>
    </row>
    <row r="28" spans="4:4">
      <c r="D28" s="5"/>
    </row>
    <row r="29" spans="4:4">
      <c r="D29" s="5"/>
    </row>
    <row r="30" spans="4:4">
      <c r="D30" s="5"/>
    </row>
    <row r="31" spans="4:4">
      <c r="D31" s="5"/>
    </row>
    <row r="32" spans="4:4">
      <c r="D32" s="5"/>
    </row>
    <row r="33" spans="4:4">
      <c r="D33" s="5"/>
    </row>
    <row r="34" spans="4:4">
      <c r="D34" s="5"/>
    </row>
    <row r="35" spans="4:4">
      <c r="D35" s="5"/>
    </row>
    <row r="36" spans="4:4">
      <c r="D36" s="5"/>
    </row>
    <row r="37" spans="4:4">
      <c r="D37" s="5"/>
    </row>
    <row r="38" spans="4:4">
      <c r="D38" s="5"/>
    </row>
    <row r="39" spans="4:4">
      <c r="D39" s="5"/>
    </row>
    <row r="40" spans="4:4">
      <c r="D40" s="5"/>
    </row>
    <row r="41" spans="4:4">
      <c r="D41" s="5"/>
    </row>
    <row r="42" spans="4:4">
      <c r="D42" s="5"/>
    </row>
    <row r="43" spans="4:4">
      <c r="D43" s="5"/>
    </row>
    <row r="44" spans="4:4">
      <c r="D44" s="5"/>
    </row>
    <row r="45" spans="4:4">
      <c r="D45" s="5"/>
    </row>
    <row r="46" spans="4:4">
      <c r="D46" s="5"/>
    </row>
    <row r="47" spans="4:4">
      <c r="D47" s="5"/>
    </row>
    <row r="48" spans="4:4">
      <c r="D48" s="5"/>
    </row>
    <row r="49" spans="4:4">
      <c r="D49" s="5"/>
    </row>
    <row r="50" spans="4:4">
      <c r="D50" s="5"/>
    </row>
    <row r="51" spans="4:4">
      <c r="D51" s="5"/>
    </row>
    <row r="52" spans="4:4">
      <c r="D52" s="5"/>
    </row>
    <row r="53" spans="4:4">
      <c r="D53" s="5"/>
    </row>
    <row r="54" spans="4:4">
      <c r="D54" s="5"/>
    </row>
    <row r="55" spans="4:4">
      <c r="D55" s="5"/>
    </row>
    <row r="56" spans="4:4">
      <c r="D56" s="5"/>
    </row>
    <row r="57" spans="4:4">
      <c r="D57" s="5"/>
    </row>
    <row r="58" spans="4:4">
      <c r="D58" s="5"/>
    </row>
    <row r="59" spans="4:4">
      <c r="D59" s="5"/>
    </row>
    <row r="60" spans="4:4">
      <c r="D60" s="5"/>
    </row>
    <row r="61" spans="4:4">
      <c r="D61" s="5"/>
    </row>
    <row r="62" spans="4:4">
      <c r="D62" s="5"/>
    </row>
    <row r="63" spans="4:4">
      <c r="D63" s="5"/>
    </row>
    <row r="64" spans="4:4">
      <c r="D64" s="5"/>
    </row>
    <row r="65" spans="4:4">
      <c r="D65" s="5"/>
    </row>
    <row r="66" spans="4:4">
      <c r="D66" s="5"/>
    </row>
    <row r="67" spans="4:4">
      <c r="D67" s="5"/>
    </row>
    <row r="68" spans="4:4">
      <c r="D68" s="5"/>
    </row>
    <row r="69" spans="4:4">
      <c r="D69" s="5"/>
    </row>
    <row r="70" spans="4:4">
      <c r="D70" s="5"/>
    </row>
    <row r="71" spans="4:4">
      <c r="D71" s="5"/>
    </row>
    <row r="72" spans="4:4">
      <c r="D72" s="5"/>
    </row>
    <row r="73" spans="4:4">
      <c r="D73" s="5"/>
    </row>
    <row r="74" spans="4:4">
      <c r="D74" s="5"/>
    </row>
    <row r="75" spans="4:4">
      <c r="D75" s="5"/>
    </row>
    <row r="76" spans="4:4">
      <c r="D76" s="5"/>
    </row>
    <row r="77" spans="4:4">
      <c r="D77" s="5"/>
    </row>
    <row r="78" spans="4:4">
      <c r="D78" s="5"/>
    </row>
    <row r="79" spans="4:4">
      <c r="D79" s="5"/>
    </row>
    <row r="80" spans="4:4">
      <c r="D80" s="5"/>
    </row>
    <row r="81" spans="4:4">
      <c r="D81" s="5"/>
    </row>
    <row r="82" spans="4:4">
      <c r="D82" s="5"/>
    </row>
    <row r="83" spans="4:4">
      <c r="D83" s="5"/>
    </row>
    <row r="84" spans="4:4">
      <c r="D84" s="5"/>
    </row>
    <row r="85" spans="4:4">
      <c r="D85" s="5"/>
    </row>
    <row r="86" spans="4:4">
      <c r="D86" s="5"/>
    </row>
    <row r="87" spans="4:4">
      <c r="D87" s="5"/>
    </row>
    <row r="88" spans="4:4">
      <c r="D88" s="5"/>
    </row>
    <row r="89" spans="4:4">
      <c r="D89" s="5"/>
    </row>
    <row r="90" spans="4:4">
      <c r="D90" s="5"/>
    </row>
    <row r="91" spans="4:4">
      <c r="D91" s="5"/>
    </row>
    <row r="92" spans="4:4">
      <c r="D92" s="5"/>
    </row>
    <row r="93" spans="4:4">
      <c r="D93" s="5"/>
    </row>
    <row r="94" spans="4:4">
      <c r="D94" s="5"/>
    </row>
    <row r="95" spans="4:4">
      <c r="D95" s="5"/>
    </row>
    <row r="96" spans="4:4">
      <c r="D96" s="5"/>
    </row>
    <row r="97" spans="4:4">
      <c r="D97" s="5"/>
    </row>
    <row r="98" spans="4:4">
      <c r="D98" s="5"/>
    </row>
    <row r="99" spans="4:4">
      <c r="D99" s="5"/>
    </row>
    <row r="100" spans="4:4">
      <c r="D100" s="5"/>
    </row>
    <row r="101" spans="4:4">
      <c r="D101" s="5"/>
    </row>
    <row r="102" spans="4:4">
      <c r="D102" s="5"/>
    </row>
    <row r="103" spans="4:4">
      <c r="D103" s="5"/>
    </row>
    <row r="104" spans="4:4">
      <c r="D104" s="5"/>
    </row>
    <row r="105" spans="4:4">
      <c r="D105" s="5"/>
    </row>
    <row r="106" spans="4:4">
      <c r="D106" s="5"/>
    </row>
    <row r="107" spans="4:4">
      <c r="D107" s="5"/>
    </row>
    <row r="108" spans="4:4">
      <c r="D108" s="5"/>
    </row>
    <row r="109" spans="4:4">
      <c r="D109" s="5"/>
    </row>
    <row r="110" spans="4:4">
      <c r="D110" s="5"/>
    </row>
    <row r="111" spans="4:4">
      <c r="D111" s="5"/>
    </row>
    <row r="112" spans="4:4">
      <c r="D112" s="5"/>
    </row>
    <row r="113" spans="4:4">
      <c r="D113" s="5"/>
    </row>
    <row r="114" spans="4:4">
      <c r="D114" s="5"/>
    </row>
    <row r="115" spans="4:4">
      <c r="D115" s="5"/>
    </row>
    <row r="116" spans="4:4">
      <c r="D116" s="5"/>
    </row>
    <row r="117" spans="4:4">
      <c r="D117" s="5"/>
    </row>
    <row r="118" spans="4:4">
      <c r="D118" s="5"/>
    </row>
    <row r="119" spans="4:4">
      <c r="D119" s="5"/>
    </row>
    <row r="120" spans="4:4">
      <c r="D120" s="5"/>
    </row>
    <row r="121" spans="4:4">
      <c r="D121" s="5"/>
    </row>
    <row r="122" spans="4:4">
      <c r="D122" s="5"/>
    </row>
    <row r="123" spans="4:4">
      <c r="D123" s="5"/>
    </row>
    <row r="124" spans="4:4">
      <c r="D124" s="5"/>
    </row>
    <row r="125" spans="4:4">
      <c r="D125" s="5"/>
    </row>
    <row r="126" spans="4:4">
      <c r="D126" s="5"/>
    </row>
    <row r="127" spans="4:4">
      <c r="D127" s="5"/>
    </row>
    <row r="128" spans="4:4">
      <c r="D128" s="5"/>
    </row>
    <row r="129" spans="4:4">
      <c r="D129" s="5"/>
    </row>
    <row r="130" spans="4:4">
      <c r="D130" s="5"/>
    </row>
    <row r="131" spans="4:4">
      <c r="D131" s="5"/>
    </row>
    <row r="132" spans="4:4">
      <c r="D132" s="5"/>
    </row>
    <row r="133" spans="4:4">
      <c r="D133" s="5"/>
    </row>
    <row r="134" spans="4:4">
      <c r="D134" s="5"/>
    </row>
    <row r="135" spans="4:4">
      <c r="D135" s="5"/>
    </row>
    <row r="136" spans="4:4">
      <c r="D136" s="5"/>
    </row>
    <row r="137" spans="4:4">
      <c r="D137" s="5"/>
    </row>
    <row r="138" spans="4:4">
      <c r="D138" s="5"/>
    </row>
    <row r="139" spans="4:4">
      <c r="D139" s="5"/>
    </row>
    <row r="140" spans="4:4">
      <c r="D140" s="5"/>
    </row>
    <row r="141" spans="4:4">
      <c r="D141" s="5"/>
    </row>
    <row r="142" spans="4:4">
      <c r="D142" s="5"/>
    </row>
    <row r="143" spans="4:4">
      <c r="D143" s="5"/>
    </row>
    <row r="144" spans="4:4">
      <c r="D144" s="5"/>
    </row>
    <row r="145" spans="4:4">
      <c r="D145" s="5"/>
    </row>
    <row r="146" spans="4:4">
      <c r="D146" s="5"/>
    </row>
    <row r="147" spans="4:4">
      <c r="D147" s="5"/>
    </row>
    <row r="148" spans="4:4">
      <c r="D148" s="5"/>
    </row>
    <row r="149" spans="4:4">
      <c r="D149" s="5"/>
    </row>
    <row r="150" spans="4:4">
      <c r="D150" s="5"/>
    </row>
    <row r="151" spans="4:4">
      <c r="D151" s="5"/>
    </row>
    <row r="152" spans="4:4">
      <c r="D152" s="5"/>
    </row>
    <row r="153" spans="4:4">
      <c r="D153" s="5"/>
    </row>
    <row r="154" spans="4:4">
      <c r="D154" s="5"/>
    </row>
    <row r="155" spans="4:4">
      <c r="D155" s="5"/>
    </row>
    <row r="156" spans="4:4">
      <c r="D156" s="5"/>
    </row>
    <row r="157" spans="4:4">
      <c r="D157" s="5"/>
    </row>
    <row r="158" spans="4:4">
      <c r="D158" s="5"/>
    </row>
    <row r="159" spans="4:4">
      <c r="D159" s="5"/>
    </row>
    <row r="160" spans="4:4">
      <c r="D160" s="5"/>
    </row>
    <row r="161" spans="4:4">
      <c r="D161" s="5"/>
    </row>
    <row r="162" spans="4:4">
      <c r="D162" s="5"/>
    </row>
    <row r="163" spans="4:4">
      <c r="D163" s="5"/>
    </row>
    <row r="164" spans="4:4">
      <c r="D164" s="5"/>
    </row>
    <row r="165" spans="4:4">
      <c r="D165" s="5"/>
    </row>
    <row r="166" spans="4:4">
      <c r="D166" s="5"/>
    </row>
    <row r="167" spans="4:4">
      <c r="D167" s="5"/>
    </row>
    <row r="168" spans="4:4">
      <c r="D168" s="5"/>
    </row>
    <row r="169" spans="4:4">
      <c r="D169" s="5"/>
    </row>
    <row r="170" spans="4:4">
      <c r="D170" s="5"/>
    </row>
    <row r="171" spans="4:4">
      <c r="D171" s="5"/>
    </row>
    <row r="172" spans="4:4">
      <c r="D172" s="5"/>
    </row>
    <row r="173" spans="4:4">
      <c r="D173" s="5"/>
    </row>
    <row r="174" spans="4:4">
      <c r="D174" s="5"/>
    </row>
    <row r="175" spans="4:4">
      <c r="D175" s="5"/>
    </row>
    <row r="176" spans="4:4">
      <c r="D176" s="5"/>
    </row>
    <row r="177" spans="4:4">
      <c r="D177" s="5"/>
    </row>
    <row r="178" spans="4:4">
      <c r="D178" s="5"/>
    </row>
    <row r="179" spans="4:4">
      <c r="D179" s="5"/>
    </row>
    <row r="180" spans="4:4">
      <c r="D180" s="5"/>
    </row>
    <row r="181" spans="4:4">
      <c r="D181" s="5"/>
    </row>
    <row r="182" spans="4:4">
      <c r="D182" s="5"/>
    </row>
    <row r="183" spans="4:4">
      <c r="D183" s="5"/>
    </row>
    <row r="184" spans="4:4">
      <c r="D184" s="5"/>
    </row>
    <row r="185" spans="4:4">
      <c r="D185" s="5"/>
    </row>
    <row r="186" spans="4:4">
      <c r="D186" s="5"/>
    </row>
    <row r="187" spans="4:4">
      <c r="D187" s="5"/>
    </row>
    <row r="188" spans="4:4">
      <c r="D188" s="5"/>
    </row>
    <row r="189" spans="4:4">
      <c r="D189" s="5"/>
    </row>
    <row r="190" spans="4:4">
      <c r="D190" s="5"/>
    </row>
    <row r="191" spans="4:4">
      <c r="D191" s="5"/>
    </row>
    <row r="192" spans="4:4">
      <c r="D192" s="5"/>
    </row>
    <row r="193" spans="4:4">
      <c r="D193" s="5"/>
    </row>
    <row r="194" spans="4:4">
      <c r="D194" s="5"/>
    </row>
    <row r="195" spans="4:4">
      <c r="D195" s="5"/>
    </row>
    <row r="196" spans="4:4">
      <c r="D196" s="5"/>
    </row>
    <row r="197" spans="4:4">
      <c r="D197" s="5"/>
    </row>
    <row r="198" spans="4:4">
      <c r="D198" s="5"/>
    </row>
    <row r="199" spans="4:4">
      <c r="D199" s="5"/>
    </row>
    <row r="200" spans="4:4">
      <c r="D200" s="5"/>
    </row>
  </sheetData>
  <mergeCells count="1">
    <mergeCell ref="A1:F1"/>
  </mergeCells>
  <dataValidations count="1">
    <dataValidation type="list" sqref="F4:F200" xr:uid="{00000000-0002-0000-0000-000000000000}">
      <formula1>"Pago,Pendente,Previsto"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"/>
  <sheetViews>
    <sheetView tabSelected="1" workbookViewId="0">
      <selection activeCell="B5" sqref="B5"/>
    </sheetView>
  </sheetViews>
  <sheetFormatPr defaultRowHeight="14.25"/>
  <cols>
    <col min="1" max="1" width="14" customWidth="1"/>
    <col min="2" max="2" width="18" customWidth="1"/>
    <col min="3" max="3" width="16" customWidth="1"/>
    <col min="4" max="4" width="27.875" bestFit="1" customWidth="1"/>
    <col min="5" max="5" width="18" customWidth="1"/>
    <col min="6" max="6" width="13.125" bestFit="1" customWidth="1"/>
    <col min="7" max="7" width="14" customWidth="1"/>
  </cols>
  <sheetData>
    <row r="1" spans="1:7" ht="18">
      <c r="A1" s="15" t="s">
        <v>36</v>
      </c>
      <c r="B1" s="15"/>
      <c r="C1" s="15"/>
      <c r="D1" s="15"/>
      <c r="E1" s="15"/>
      <c r="F1" s="15"/>
      <c r="G1" s="15"/>
    </row>
    <row r="3" spans="1:7" ht="15">
      <c r="A3" s="2" t="s">
        <v>37</v>
      </c>
      <c r="B3" s="2" t="s">
        <v>38</v>
      </c>
      <c r="C3" s="2" t="s">
        <v>4</v>
      </c>
      <c r="D3" s="2" t="s">
        <v>39</v>
      </c>
      <c r="E3" s="2" t="s">
        <v>40</v>
      </c>
      <c r="F3" s="2" t="s">
        <v>27</v>
      </c>
      <c r="G3" s="2" t="s">
        <v>6</v>
      </c>
    </row>
    <row r="4" spans="1:7">
      <c r="A4" s="13">
        <v>46266</v>
      </c>
      <c r="B4" s="11">
        <v>46282</v>
      </c>
      <c r="C4" s="4">
        <v>73</v>
      </c>
      <c r="D4" s="4"/>
      <c r="E4" s="12"/>
      <c r="F4" s="14" t="s">
        <v>44</v>
      </c>
      <c r="G4" t="s">
        <v>10</v>
      </c>
    </row>
    <row r="5" spans="1:7">
      <c r="A5" s="3"/>
      <c r="B5" s="11"/>
      <c r="C5" s="4"/>
      <c r="D5" s="4"/>
      <c r="E5" s="12"/>
    </row>
    <row r="6" spans="1:7">
      <c r="A6" s="3"/>
      <c r="B6" s="11"/>
      <c r="C6" s="4"/>
      <c r="D6" s="4"/>
      <c r="E6" s="12"/>
    </row>
    <row r="7" spans="1:7">
      <c r="A7" s="3"/>
      <c r="B7" s="11"/>
      <c r="C7" s="4"/>
      <c r="D7" s="4"/>
      <c r="E7" s="12"/>
    </row>
    <row r="8" spans="1:7">
      <c r="A8" s="3"/>
      <c r="B8" s="11"/>
      <c r="C8" s="4"/>
      <c r="D8" s="4"/>
      <c r="E8" s="12"/>
    </row>
    <row r="9" spans="1:7">
      <c r="A9" s="3"/>
      <c r="B9" s="11"/>
      <c r="C9" s="4"/>
      <c r="D9" s="4"/>
      <c r="E9" s="12"/>
    </row>
    <row r="10" spans="1:7">
      <c r="A10" s="3"/>
      <c r="B10" s="11"/>
      <c r="C10" s="4"/>
      <c r="D10" s="4"/>
      <c r="E10" s="12"/>
    </row>
    <row r="11" spans="1:7">
      <c r="A11" s="3"/>
      <c r="B11" s="11"/>
      <c r="C11" s="4"/>
      <c r="D11" s="4"/>
      <c r="E11" s="12"/>
    </row>
    <row r="12" spans="1:7">
      <c r="A12" s="3"/>
      <c r="B12" s="11"/>
      <c r="C12" s="4"/>
      <c r="D12" s="4"/>
      <c r="E12" s="12"/>
    </row>
    <row r="13" spans="1:7">
      <c r="A13" s="3"/>
      <c r="B13" s="11"/>
      <c r="C13" s="4"/>
      <c r="D13" s="4"/>
      <c r="E13" s="12"/>
    </row>
    <row r="14" spans="1:7">
      <c r="A14" s="3"/>
      <c r="B14" s="11"/>
      <c r="C14" s="4"/>
      <c r="D14" s="4"/>
      <c r="E14" s="12"/>
    </row>
    <row r="15" spans="1:7">
      <c r="A15" s="3"/>
      <c r="B15" s="11"/>
      <c r="C15" s="4"/>
      <c r="D15" s="4"/>
      <c r="E15" s="12"/>
    </row>
    <row r="16" spans="1:7">
      <c r="A16" s="3"/>
      <c r="B16" s="11"/>
      <c r="C16" s="4"/>
      <c r="D16" s="4"/>
      <c r="E16" s="12"/>
    </row>
    <row r="17" spans="1:5">
      <c r="A17" s="3"/>
      <c r="B17" s="11"/>
      <c r="C17" s="4"/>
      <c r="D17" s="4"/>
      <c r="E17" s="12"/>
    </row>
    <row r="18" spans="1:5">
      <c r="A18" s="3"/>
      <c r="B18" s="11"/>
      <c r="C18" s="4"/>
      <c r="D18" s="4"/>
      <c r="E18" s="12"/>
    </row>
    <row r="19" spans="1:5">
      <c r="A19" s="3"/>
      <c r="B19" s="11"/>
      <c r="C19" s="4"/>
      <c r="D19" s="4"/>
      <c r="E19" s="12"/>
    </row>
    <row r="20" spans="1:5">
      <c r="A20" s="3"/>
      <c r="B20" s="11"/>
      <c r="C20" s="4"/>
      <c r="D20" s="4"/>
      <c r="E20" s="12"/>
    </row>
    <row r="21" spans="1:5">
      <c r="A21" s="3"/>
      <c r="B21" s="11"/>
      <c r="C21" s="4"/>
      <c r="D21" s="4"/>
      <c r="E21" s="12"/>
    </row>
    <row r="22" spans="1:5">
      <c r="A22" s="3"/>
      <c r="B22" s="11"/>
      <c r="C22" s="4"/>
      <c r="D22" s="4"/>
      <c r="E22" s="12"/>
    </row>
    <row r="23" spans="1:5">
      <c r="A23" s="3"/>
      <c r="B23" s="11"/>
      <c r="C23" s="4"/>
      <c r="D23" s="4"/>
      <c r="E23" s="12"/>
    </row>
    <row r="24" spans="1:5">
      <c r="A24" s="3"/>
      <c r="B24" s="11"/>
      <c r="C24" s="4"/>
      <c r="D24" s="4"/>
      <c r="E24" s="12"/>
    </row>
    <row r="25" spans="1:5">
      <c r="A25" s="3"/>
      <c r="B25" s="11"/>
      <c r="C25" s="4"/>
      <c r="D25" s="4"/>
      <c r="E25" s="12"/>
    </row>
    <row r="26" spans="1:5">
      <c r="A26" s="3"/>
      <c r="B26" s="11"/>
      <c r="C26" s="4"/>
      <c r="D26" s="4"/>
      <c r="E26" s="12"/>
    </row>
    <row r="27" spans="1:5">
      <c r="A27" s="3"/>
      <c r="B27" s="11"/>
      <c r="C27" s="4"/>
      <c r="D27" s="4"/>
      <c r="E27" s="12"/>
    </row>
    <row r="28" spans="1:5">
      <c r="A28" s="3"/>
      <c r="B28" s="11"/>
      <c r="C28" s="4"/>
      <c r="D28" s="4"/>
      <c r="E28" s="12"/>
    </row>
    <row r="29" spans="1:5">
      <c r="A29" s="3"/>
      <c r="B29" s="11"/>
      <c r="C29" s="4"/>
      <c r="D29" s="4"/>
      <c r="E29" s="12"/>
    </row>
    <row r="30" spans="1:5">
      <c r="A30" s="3"/>
      <c r="B30" s="11"/>
      <c r="C30" s="4"/>
      <c r="D30" s="4"/>
      <c r="E30" s="12"/>
    </row>
    <row r="31" spans="1:5">
      <c r="A31" s="3"/>
      <c r="B31" s="11"/>
      <c r="C31" s="4"/>
      <c r="D31" s="4"/>
      <c r="E31" s="12"/>
    </row>
    <row r="32" spans="1:5">
      <c r="A32" s="3"/>
      <c r="B32" s="11"/>
      <c r="C32" s="4"/>
      <c r="D32" s="4"/>
      <c r="E32" s="12"/>
    </row>
    <row r="33" spans="1:5">
      <c r="A33" s="3"/>
      <c r="B33" s="11"/>
      <c r="C33" s="4"/>
      <c r="D33" s="4"/>
      <c r="E33" s="12"/>
    </row>
    <row r="34" spans="1:5">
      <c r="A34" s="3"/>
      <c r="B34" s="11"/>
      <c r="C34" s="4"/>
      <c r="D34" s="4"/>
      <c r="E34" s="12"/>
    </row>
    <row r="35" spans="1:5">
      <c r="A35" s="3"/>
      <c r="B35" s="11"/>
      <c r="C35" s="4"/>
      <c r="D35" s="4"/>
      <c r="E35" s="12"/>
    </row>
    <row r="36" spans="1:5">
      <c r="A36" s="3"/>
      <c r="B36" s="11"/>
      <c r="C36" s="4"/>
      <c r="D36" s="4"/>
      <c r="E36" s="12"/>
    </row>
    <row r="37" spans="1:5">
      <c r="A37" s="3"/>
      <c r="B37" s="11"/>
      <c r="C37" s="4"/>
      <c r="D37" s="4"/>
      <c r="E37" s="12"/>
    </row>
    <row r="38" spans="1:5">
      <c r="A38" s="3"/>
      <c r="B38" s="11"/>
      <c r="C38" s="4"/>
      <c r="D38" s="4"/>
      <c r="E38" s="12"/>
    </row>
    <row r="39" spans="1:5">
      <c r="A39" s="3"/>
      <c r="B39" s="11"/>
      <c r="C39" s="4"/>
      <c r="D39" s="4"/>
      <c r="E39" s="12"/>
    </row>
    <row r="40" spans="1:5">
      <c r="A40" s="3"/>
      <c r="B40" s="11"/>
      <c r="C40" s="4"/>
      <c r="D40" s="4"/>
      <c r="E40" s="12"/>
    </row>
    <row r="41" spans="1:5">
      <c r="A41" s="3"/>
      <c r="B41" s="11"/>
      <c r="C41" s="4"/>
      <c r="D41" s="4"/>
      <c r="E41" s="12"/>
    </row>
    <row r="42" spans="1:5">
      <c r="A42" s="3"/>
      <c r="B42" s="11"/>
      <c r="C42" s="4"/>
      <c r="D42" s="4"/>
      <c r="E42" s="12"/>
    </row>
    <row r="43" spans="1:5">
      <c r="A43" s="3"/>
      <c r="B43" s="11"/>
      <c r="C43" s="4"/>
      <c r="D43" s="4"/>
      <c r="E43" s="12"/>
    </row>
    <row r="44" spans="1:5">
      <c r="A44" s="3"/>
      <c r="B44" s="11"/>
      <c r="C44" s="4"/>
      <c r="D44" s="4"/>
      <c r="E44" s="12"/>
    </row>
    <row r="45" spans="1:5">
      <c r="A45" s="3"/>
      <c r="B45" s="11"/>
      <c r="C45" s="4"/>
      <c r="D45" s="4"/>
      <c r="E45" s="12"/>
    </row>
    <row r="46" spans="1:5">
      <c r="A46" s="3"/>
      <c r="B46" s="11"/>
      <c r="C46" s="4"/>
      <c r="D46" s="4"/>
      <c r="E46" s="12"/>
    </row>
    <row r="47" spans="1:5">
      <c r="A47" s="3"/>
      <c r="B47" s="11"/>
      <c r="C47" s="4"/>
      <c r="D47" s="4"/>
      <c r="E47" s="12"/>
    </row>
    <row r="48" spans="1:5">
      <c r="A48" s="3"/>
      <c r="B48" s="11"/>
      <c r="C48" s="4"/>
      <c r="D48" s="4"/>
      <c r="E48" s="12"/>
    </row>
    <row r="49" spans="1:5">
      <c r="A49" s="3"/>
      <c r="B49" s="11"/>
      <c r="C49" s="4"/>
      <c r="D49" s="4"/>
      <c r="E49" s="12"/>
    </row>
    <row r="50" spans="1:5">
      <c r="A50" s="3"/>
      <c r="B50" s="11"/>
      <c r="C50" s="4"/>
      <c r="D50" s="4"/>
      <c r="E50" s="12"/>
    </row>
    <row r="51" spans="1:5">
      <c r="A51" s="3"/>
      <c r="B51" s="11"/>
      <c r="C51" s="4"/>
      <c r="D51" s="4"/>
      <c r="E51" s="12"/>
    </row>
    <row r="52" spans="1:5">
      <c r="A52" s="3"/>
      <c r="B52" s="11"/>
      <c r="C52" s="4"/>
      <c r="D52" s="4"/>
      <c r="E52" s="12"/>
    </row>
    <row r="53" spans="1:5">
      <c r="A53" s="3"/>
      <c r="B53" s="11"/>
      <c r="C53" s="4"/>
      <c r="D53" s="4"/>
      <c r="E53" s="12"/>
    </row>
    <row r="54" spans="1:5">
      <c r="A54" s="3"/>
      <c r="B54" s="11"/>
      <c r="C54" s="4"/>
      <c r="D54" s="4"/>
      <c r="E54" s="12"/>
    </row>
    <row r="55" spans="1:5">
      <c r="A55" s="3"/>
      <c r="B55" s="11"/>
      <c r="C55" s="4"/>
      <c r="D55" s="4"/>
      <c r="E55" s="12"/>
    </row>
    <row r="56" spans="1:5">
      <c r="A56" s="3"/>
      <c r="B56" s="11"/>
      <c r="C56" s="4"/>
      <c r="D56" s="4"/>
      <c r="E56" s="12"/>
    </row>
    <row r="57" spans="1:5">
      <c r="A57" s="3"/>
      <c r="B57" s="11"/>
      <c r="C57" s="4"/>
      <c r="D57" s="4"/>
      <c r="E57" s="12"/>
    </row>
    <row r="58" spans="1:5">
      <c r="A58" s="3"/>
      <c r="B58" s="11"/>
      <c r="C58" s="4"/>
      <c r="D58" s="4"/>
      <c r="E58" s="12"/>
    </row>
    <row r="59" spans="1:5">
      <c r="A59" s="3"/>
      <c r="B59" s="11"/>
      <c r="C59" s="4"/>
      <c r="D59" s="4"/>
      <c r="E59" s="12"/>
    </row>
    <row r="60" spans="1:5">
      <c r="A60" s="3"/>
      <c r="B60" s="11"/>
      <c r="C60" s="4"/>
      <c r="D60" s="4"/>
      <c r="E60" s="12"/>
    </row>
    <row r="61" spans="1:5">
      <c r="A61" s="3"/>
      <c r="B61" s="11"/>
      <c r="C61" s="4"/>
      <c r="D61" s="4"/>
      <c r="E61" s="12"/>
    </row>
    <row r="62" spans="1:5">
      <c r="A62" s="3"/>
      <c r="B62" s="11"/>
      <c r="C62" s="4"/>
      <c r="D62" s="4"/>
      <c r="E62" s="12"/>
    </row>
    <row r="63" spans="1:5">
      <c r="A63" s="3"/>
      <c r="B63" s="11"/>
      <c r="C63" s="4"/>
      <c r="D63" s="4"/>
      <c r="E63" s="12"/>
    </row>
    <row r="64" spans="1:5">
      <c r="A64" s="3"/>
      <c r="B64" s="11"/>
      <c r="C64" s="4"/>
      <c r="D64" s="4"/>
      <c r="E64" s="12"/>
    </row>
    <row r="65" spans="1:5">
      <c r="A65" s="3"/>
      <c r="B65" s="11"/>
      <c r="C65" s="4"/>
      <c r="D65" s="4"/>
      <c r="E65" s="12"/>
    </row>
    <row r="66" spans="1:5">
      <c r="A66" s="3"/>
      <c r="B66" s="11"/>
      <c r="C66" s="4"/>
      <c r="D66" s="4"/>
      <c r="E66" s="12"/>
    </row>
    <row r="67" spans="1:5">
      <c r="A67" s="3"/>
      <c r="B67" s="11"/>
      <c r="C67" s="4"/>
      <c r="D67" s="4"/>
      <c r="E67" s="12"/>
    </row>
    <row r="68" spans="1:5">
      <c r="A68" s="3"/>
      <c r="B68" s="11"/>
      <c r="C68" s="4"/>
      <c r="D68" s="4"/>
      <c r="E68" s="12"/>
    </row>
    <row r="69" spans="1:5">
      <c r="A69" s="3"/>
      <c r="B69" s="11"/>
      <c r="C69" s="4"/>
      <c r="D69" s="4"/>
      <c r="E69" s="12"/>
    </row>
    <row r="70" spans="1:5">
      <c r="A70" s="3"/>
      <c r="B70" s="11"/>
      <c r="C70" s="4"/>
      <c r="D70" s="4"/>
      <c r="E70" s="12"/>
    </row>
    <row r="71" spans="1:5">
      <c r="A71" s="3"/>
      <c r="B71" s="11"/>
      <c r="C71" s="4"/>
      <c r="D71" s="4"/>
      <c r="E71" s="12"/>
    </row>
    <row r="72" spans="1:5">
      <c r="A72" s="3"/>
      <c r="B72" s="11"/>
      <c r="C72" s="4"/>
      <c r="D72" s="4"/>
      <c r="E72" s="12"/>
    </row>
    <row r="73" spans="1:5">
      <c r="A73" s="3"/>
      <c r="B73" s="11"/>
      <c r="C73" s="4"/>
      <c r="D73" s="4"/>
      <c r="E73" s="12"/>
    </row>
    <row r="74" spans="1:5">
      <c r="A74" s="3"/>
      <c r="B74" s="11"/>
      <c r="C74" s="4"/>
      <c r="D74" s="4"/>
      <c r="E74" s="12"/>
    </row>
    <row r="75" spans="1:5">
      <c r="A75" s="3"/>
      <c r="B75" s="11"/>
      <c r="C75" s="4"/>
      <c r="D75" s="4"/>
      <c r="E75" s="12"/>
    </row>
    <row r="76" spans="1:5">
      <c r="A76" s="3"/>
      <c r="B76" s="11"/>
      <c r="C76" s="4"/>
      <c r="D76" s="4"/>
      <c r="E76" s="12"/>
    </row>
    <row r="77" spans="1:5">
      <c r="A77" s="3"/>
      <c r="B77" s="11"/>
      <c r="C77" s="4"/>
      <c r="D77" s="4"/>
      <c r="E77" s="12"/>
    </row>
    <row r="78" spans="1:5">
      <c r="A78" s="3"/>
      <c r="B78" s="11"/>
      <c r="C78" s="4"/>
      <c r="D78" s="4"/>
      <c r="E78" s="12"/>
    </row>
    <row r="79" spans="1:5">
      <c r="A79" s="3"/>
      <c r="B79" s="11"/>
      <c r="C79" s="4"/>
      <c r="D79" s="4"/>
      <c r="E79" s="12"/>
    </row>
    <row r="80" spans="1:5">
      <c r="A80" s="3"/>
      <c r="B80" s="11"/>
      <c r="C80" s="4"/>
      <c r="D80" s="4"/>
      <c r="E80" s="12"/>
    </row>
    <row r="81" spans="1:5">
      <c r="A81" s="3"/>
      <c r="B81" s="11"/>
      <c r="C81" s="4"/>
      <c r="D81" s="4"/>
      <c r="E81" s="12"/>
    </row>
    <row r="82" spans="1:5">
      <c r="A82" s="3"/>
      <c r="B82" s="11"/>
      <c r="C82" s="4"/>
      <c r="D82" s="4"/>
      <c r="E82" s="12"/>
    </row>
    <row r="83" spans="1:5">
      <c r="A83" s="3"/>
      <c r="B83" s="11"/>
      <c r="C83" s="4"/>
      <c r="D83" s="4"/>
      <c r="E83" s="12"/>
    </row>
    <row r="84" spans="1:5">
      <c r="A84" s="3"/>
      <c r="B84" s="11"/>
      <c r="C84" s="4"/>
      <c r="D84" s="4"/>
      <c r="E84" s="12"/>
    </row>
    <row r="85" spans="1:5">
      <c r="A85" s="3"/>
      <c r="B85" s="11"/>
      <c r="C85" s="4"/>
      <c r="D85" s="4"/>
      <c r="E85" s="12"/>
    </row>
    <row r="86" spans="1:5">
      <c r="A86" s="3"/>
      <c r="B86" s="11"/>
      <c r="C86" s="4"/>
      <c r="D86" s="4"/>
      <c r="E86" s="12"/>
    </row>
    <row r="87" spans="1:5">
      <c r="A87" s="3"/>
      <c r="B87" s="11"/>
      <c r="C87" s="4"/>
      <c r="D87" s="4"/>
      <c r="E87" s="12"/>
    </row>
    <row r="88" spans="1:5">
      <c r="A88" s="3"/>
      <c r="B88" s="11"/>
      <c r="C88" s="4"/>
      <c r="D88" s="4"/>
      <c r="E88" s="12"/>
    </row>
    <row r="89" spans="1:5">
      <c r="A89" s="3"/>
      <c r="B89" s="11"/>
      <c r="C89" s="4"/>
      <c r="D89" s="4"/>
      <c r="E89" s="12"/>
    </row>
    <row r="90" spans="1:5">
      <c r="A90" s="3"/>
      <c r="B90" s="11"/>
      <c r="C90" s="4"/>
      <c r="D90" s="4"/>
      <c r="E90" s="12"/>
    </row>
    <row r="91" spans="1:5">
      <c r="A91" s="3"/>
      <c r="B91" s="11"/>
      <c r="C91" s="4"/>
      <c r="D91" s="4"/>
      <c r="E91" s="12"/>
    </row>
    <row r="92" spans="1:5">
      <c r="A92" s="3"/>
      <c r="B92" s="11"/>
      <c r="C92" s="4"/>
      <c r="D92" s="4"/>
      <c r="E92" s="12"/>
    </row>
    <row r="93" spans="1:5">
      <c r="A93" s="3"/>
      <c r="B93" s="11"/>
      <c r="C93" s="4"/>
      <c r="D93" s="4"/>
      <c r="E93" s="12"/>
    </row>
    <row r="94" spans="1:5">
      <c r="A94" s="3"/>
      <c r="B94" s="11"/>
      <c r="C94" s="4"/>
      <c r="D94" s="4"/>
      <c r="E94" s="12"/>
    </row>
    <row r="95" spans="1:5">
      <c r="A95" s="3"/>
      <c r="B95" s="11"/>
      <c r="C95" s="4"/>
      <c r="D95" s="4"/>
      <c r="E95" s="12"/>
    </row>
    <row r="96" spans="1:5">
      <c r="A96" s="3"/>
      <c r="B96" s="11"/>
      <c r="C96" s="4"/>
      <c r="D96" s="4"/>
      <c r="E96" s="12"/>
    </row>
    <row r="97" spans="1:5">
      <c r="A97" s="3"/>
      <c r="B97" s="11"/>
      <c r="C97" s="4"/>
      <c r="D97" s="4"/>
      <c r="E97" s="12"/>
    </row>
    <row r="98" spans="1:5">
      <c r="A98" s="3"/>
      <c r="B98" s="11"/>
      <c r="C98" s="4"/>
      <c r="D98" s="4"/>
      <c r="E98" s="12"/>
    </row>
    <row r="99" spans="1:5">
      <c r="A99" s="3"/>
      <c r="B99" s="11"/>
      <c r="C99" s="4"/>
      <c r="D99" s="4"/>
      <c r="E99" s="12"/>
    </row>
    <row r="100" spans="1:5">
      <c r="A100" s="3"/>
      <c r="B100" s="11"/>
      <c r="C100" s="4"/>
      <c r="D100" s="4"/>
      <c r="E100" s="12"/>
    </row>
    <row r="103" spans="1:5" ht="15">
      <c r="B103" s="8" t="s">
        <v>41</v>
      </c>
      <c r="C103" s="9">
        <f>SUM(C4:C100)</f>
        <v>73</v>
      </c>
    </row>
    <row r="104" spans="1:5" ht="15">
      <c r="B104" s="6" t="s">
        <v>42</v>
      </c>
      <c r="C104" s="6">
        <f>COUNT(C4:C100)</f>
        <v>1</v>
      </c>
    </row>
  </sheetData>
  <mergeCells count="1">
    <mergeCell ref="A1:G1"/>
  </mergeCells>
  <dataValidations count="1">
    <dataValidation type="list" sqref="G4:G100" xr:uid="{00000000-0002-0000-0200-000000000000}">
      <formula1>"Pago,Pendente,Previsto"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Apartamento</vt:lpstr>
      <vt:lpstr>Custos de Aquisição</vt:lpstr>
      <vt:lpstr>Taxas de Obra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Desirée Louzada dos Santos</cp:lastModifiedBy>
  <dcterms:modified xsi:type="dcterms:W3CDTF">2026-08-18T12:38:51Z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04fabd-8c59-4123-b113-9f53485cc1fa_Enabled">
    <vt:lpwstr>true</vt:lpwstr>
  </property>
  <property fmtid="{D5CDD505-2E9C-101B-9397-08002B2CF9AE}" pid="3" name="MSIP_Label_2004fabd-8c59-4123-b113-9f53485cc1fa_SetDate">
    <vt:lpwstr>2026-08-13T16:50:03Z</vt:lpwstr>
  </property>
  <property fmtid="{D5CDD505-2E9C-101B-9397-08002B2CF9AE}" pid="4" name="MSIP_Label_2004fabd-8c59-4123-b113-9f53485cc1fa_Method">
    <vt:lpwstr>Privileged</vt:lpwstr>
  </property>
  <property fmtid="{D5CDD505-2E9C-101B-9397-08002B2CF9AE}" pid="5" name="MSIP_Label_2004fabd-8c59-4123-b113-9f53485cc1fa_Name">
    <vt:lpwstr>Publico</vt:lpwstr>
  </property>
  <property fmtid="{D5CDD505-2E9C-101B-9397-08002B2CF9AE}" pid="6" name="MSIP_Label_2004fabd-8c59-4123-b113-9f53485cc1fa_SiteId">
    <vt:lpwstr>9339fb1c-0944-4fb9-808d-a278e53590e5</vt:lpwstr>
  </property>
  <property fmtid="{D5CDD505-2E9C-101B-9397-08002B2CF9AE}" pid="7" name="MSIP_Label_2004fabd-8c59-4123-b113-9f53485cc1fa_ActionId">
    <vt:lpwstr>db11a598-4a0c-4ba2-ae2d-8eb5bc32b2c3</vt:lpwstr>
  </property>
  <property fmtid="{D5CDD505-2E9C-101B-9397-08002B2CF9AE}" pid="8" name="MSIP_Label_2004fabd-8c59-4123-b113-9f53485cc1fa_ContentBits">
    <vt:lpwstr>0</vt:lpwstr>
  </property>
  <property fmtid="{D5CDD505-2E9C-101B-9397-08002B2CF9AE}" pid="9" name="MSIP_Label_2004fabd-8c59-4123-b113-9f53485cc1fa_Tag">
    <vt:lpwstr>10, 0, 1, 1</vt:lpwstr>
  </property>
</Properties>
</file>